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m_Ozeti" sheetId="1" state="visible" r:id="rId1"/>
    <sheet name="Satis_Karlilik" sheetId="2" state="visible" r:id="rId2"/>
    <sheet name="Nakit_Akisi" sheetId="3" state="visible" r:id="rId3"/>
    <sheet name="Musteri_Yaslandirma" sheetId="4" state="visible" r:id="rId4"/>
    <sheet name="Stok_Analizi" sheetId="5" state="visible" r:id="rId5"/>
    <sheet name="Butce_Gider" sheetId="6" state="visible" r:id="rId6"/>
  </sheets>
  <definedNames>
    <definedName name="_xlnm._FilterDatabase" localSheetId="1" hidden="1">'Satis_Karlilik'!$A$4:$F$13</definedName>
    <definedName name="_xlnm._FilterDatabase" localSheetId="4" hidden="1">'Stok_Analizi'!$A$4:$H$13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TL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5F6368"/>
      <sz val="11"/>
    </font>
    <font>
      <name val="Arial"/>
      <b val="1"/>
      <color rgb="005F6368"/>
      <sz val="9"/>
    </font>
    <font>
      <name val="Arial"/>
      <b val="1"/>
      <color rgb="001B365D"/>
      <sz val="14"/>
    </font>
    <font>
      <name val="Arial"/>
      <b val="1"/>
      <color rgb="001B365D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E8EAED"/>
      </patternFill>
    </fill>
    <fill>
      <patternFill patternType="solid">
        <fgColor rgb="00F1F3F4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right" vertical="center"/>
    </xf>
    <xf numFmtId="165" fontId="8" fillId="6" borderId="2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3" fontId="8" fillId="6" borderId="2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C5221F"/>
      </font>
      <fill>
        <patternFill patternType="solid">
          <fgColor rgb="00FCE8E6"/>
          <b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Alacak Risk Dağılımı (Yaşlandırma)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'Musteri_Yaslandirma'!$D$4:$H$4</f>
            </numRef>
          </cat>
          <val>
            <numRef>
              <f>'Musteri_Yaslandirma'!$D$13:$H$13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83" customWidth="1" min="3" max="3"/>
    <col width="37" customWidth="1" min="4" max="4"/>
    <col width="12" customWidth="1" min="5" max="5"/>
    <col width="29" customWidth="1" min="6" max="6"/>
    <col width="12" customWidth="1" min="7" max="7"/>
    <col width="22" customWidth="1" min="8" max="8"/>
  </cols>
  <sheetData>
    <row r="1"/>
    <row r="2">
      <c r="B2" s="1" t="inlineStr">
        <is>
          <t>SAP Business One Yönetim Raporlama Paneli</t>
        </is>
      </c>
    </row>
    <row r="3">
      <c r="B3" s="2" t="inlineStr">
        <is>
          <t>Şirket Genel Performans ve Kritik Finansal Göstergeler</t>
        </is>
      </c>
    </row>
    <row r="4"/>
    <row r="5" ht="20" customHeight="1">
      <c r="B5" s="3" t="inlineStr">
        <is>
          <t>Toplam Satış Tutar</t>
        </is>
      </c>
      <c r="D5" s="3" t="inlineStr">
        <is>
          <t>Ortalama Karlılık</t>
        </is>
      </c>
      <c r="F5" s="3" t="inlineStr">
        <is>
          <t>Vadesi Geçmiş Alacak</t>
        </is>
      </c>
      <c r="H5" s="3" t="inlineStr">
        <is>
          <t>Kritik Stok Değeri</t>
        </is>
      </c>
    </row>
    <row r="6" ht="28" customHeight="1">
      <c r="B6" s="4">
        <f>'Satis_Karlilik'!C14</f>
        <v/>
      </c>
      <c r="D6" s="5">
        <f>'Satis_Karlilik'!F14</f>
        <v/>
      </c>
      <c r="F6" s="4">
        <f>'Musteri_Yaslandirma'!C13</f>
        <v/>
      </c>
      <c r="H6" s="4">
        <f>'Stok_Analizi'!F14</f>
        <v/>
      </c>
    </row>
    <row r="7"/>
    <row r="8"/>
    <row r="9">
      <c r="B9" s="6" t="inlineStr">
        <is>
          <t>Rapor Sekmeleri ve Detayları</t>
        </is>
      </c>
    </row>
    <row r="10">
      <c r="B10" s="7" t="inlineStr">
        <is>
          <t>Rapor Adı</t>
        </is>
      </c>
      <c r="C10" s="7" t="inlineStr">
        <is>
          <t>Açıklama</t>
        </is>
      </c>
      <c r="D10" s="7" t="inlineStr">
        <is>
          <t>Hedef Kitle</t>
        </is>
      </c>
    </row>
    <row r="11">
      <c r="B11" s="8" t="inlineStr">
        <is>
          <t>1. Satış ve Karlılık Analizi</t>
        </is>
      </c>
      <c r="C11" s="8" t="inlineStr">
        <is>
          <t>Müşteri bazlı satış hacimleri, maliyetler ve net kar marjları.</t>
        </is>
      </c>
      <c r="D11" s="8" t="inlineStr">
        <is>
          <t>Genel Müdür, Satış Direktörü</t>
        </is>
      </c>
    </row>
    <row r="12">
      <c r="B12" s="9" t="inlineStr">
        <is>
          <t>2. Nakit Akışı Tahmini</t>
        </is>
      </c>
      <c r="C12" s="9" t="inlineStr">
        <is>
          <t>Önümüzdeki 6 aylık dönemde bekleyen tahsilat, ödeme ve net nakit projeksiyonu.</t>
        </is>
      </c>
      <c r="D12" s="9" t="inlineStr">
        <is>
          <t>CFO, Finans Müdürü</t>
        </is>
      </c>
    </row>
    <row r="13">
      <c r="B13" s="8" t="inlineStr">
        <is>
          <t>3. Müşteri Borç Yaşlandırma</t>
        </is>
      </c>
      <c r="C13" s="8" t="inlineStr">
        <is>
          <t>Müşterilerin açık faturalarının gecikme sürelerine göre risk analizi.</t>
        </is>
      </c>
      <c r="D13" s="8" t="inlineStr">
        <is>
          <t>Finans Müdürü, Kredi Risk Yönetimi</t>
        </is>
      </c>
    </row>
    <row r="14">
      <c r="B14" s="9" t="inlineStr">
        <is>
          <t>4. Stok Değerleme &amp; Analiz</t>
        </is>
      </c>
      <c r="C14" s="9" t="inlineStr">
        <is>
          <t>Depolardaki ürünlerin maliyet değerleri, stok devir hızları ve kritik seviyeler.</t>
        </is>
      </c>
      <c r="D14" s="9" t="inlineStr">
        <is>
          <t>Operasyon Müdürü, Satınalma</t>
        </is>
      </c>
    </row>
    <row r="15">
      <c r="B15" s="8" t="inlineStr">
        <is>
          <t>5. Bütçe ve Fiili Karşılaştırma</t>
        </is>
      </c>
      <c r="C15" s="8" t="inlineStr">
        <is>
          <t>Gider hesaplarının bütçelenen hedeflerle uyumu ve sapma analizleri.</t>
        </is>
      </c>
      <c r="D15" s="8" t="inlineStr">
        <is>
          <t>CFO, Tüm Bölüm Başkanları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1" customWidth="1" min="3" max="3"/>
    <col width="31" customWidth="1" min="4" max="4"/>
    <col width="15" customWidth="1" min="5" max="5"/>
    <col width="12" customWidth="1" min="6" max="6"/>
  </cols>
  <sheetData>
    <row r="1"/>
    <row r="2">
      <c r="A2" s="1" t="inlineStr">
        <is>
          <t>Müşteri Bazlı Satış ve Karlılık Analizi</t>
        </is>
      </c>
    </row>
    <row r="3"/>
    <row r="4">
      <c r="A4" s="10" t="inlineStr">
        <is>
          <t>Müşteri Kodu</t>
        </is>
      </c>
      <c r="B4" s="7" t="inlineStr">
        <is>
          <t>Müşteri Adı</t>
        </is>
      </c>
      <c r="C4" s="7" t="inlineStr">
        <is>
          <t>Satış Tutarı (Net)</t>
        </is>
      </c>
      <c r="D4" s="7" t="inlineStr">
        <is>
          <t>Satılan Malın Maliyeti (SMM)</t>
        </is>
      </c>
      <c r="E4" s="7" t="inlineStr">
        <is>
          <t>Brüt Kar</t>
        </is>
      </c>
      <c r="F4" s="7" t="inlineStr">
        <is>
          <t>Kar Marjı</t>
        </is>
      </c>
    </row>
    <row r="5">
      <c r="A5" s="11" t="inlineStr">
        <is>
          <t>C00001</t>
        </is>
      </c>
      <c r="B5" s="8" t="inlineStr">
        <is>
          <t>Anadolu Sanayi Ticaret</t>
        </is>
      </c>
      <c r="C5" s="12" t="n">
        <v>450000</v>
      </c>
      <c r="D5" s="12" t="n">
        <v>310000</v>
      </c>
      <c r="E5" s="12">
        <f>C5-D5</f>
        <v/>
      </c>
      <c r="F5" s="13">
        <f>E5/C5</f>
        <v/>
      </c>
    </row>
    <row r="6">
      <c r="A6" s="14" t="inlineStr">
        <is>
          <t>C00002</t>
        </is>
      </c>
      <c r="B6" s="9" t="inlineStr">
        <is>
          <t>Avrupa Dağıtım Ltd.</t>
        </is>
      </c>
      <c r="C6" s="15" t="n">
        <v>380000</v>
      </c>
      <c r="D6" s="15" t="n">
        <v>245000</v>
      </c>
      <c r="E6" s="15">
        <f>C6-D6</f>
        <v/>
      </c>
      <c r="F6" s="16">
        <f>E6/C6</f>
        <v/>
      </c>
    </row>
    <row r="7">
      <c r="A7" s="11" t="inlineStr">
        <is>
          <t>C00003</t>
        </is>
      </c>
      <c r="B7" s="8" t="inlineStr">
        <is>
          <t>Net Lojistik Hizmetleri</t>
        </is>
      </c>
      <c r="C7" s="12" t="n">
        <v>290000</v>
      </c>
      <c r="D7" s="12" t="n">
        <v>210000</v>
      </c>
      <c r="E7" s="12">
        <f>C7-D7</f>
        <v/>
      </c>
      <c r="F7" s="13">
        <f>E7/C7</f>
        <v/>
      </c>
    </row>
    <row r="8">
      <c r="A8" s="14" t="inlineStr">
        <is>
          <t>C00004</t>
        </is>
      </c>
      <c r="B8" s="9" t="inlineStr">
        <is>
          <t>Zirve Holding A.Ş.</t>
        </is>
      </c>
      <c r="C8" s="15" t="n">
        <v>210000</v>
      </c>
      <c r="D8" s="15" t="n">
        <v>130000</v>
      </c>
      <c r="E8" s="15">
        <f>C8-D8</f>
        <v/>
      </c>
      <c r="F8" s="16">
        <f>E8/C8</f>
        <v/>
      </c>
    </row>
    <row r="9">
      <c r="A9" s="11" t="inlineStr">
        <is>
          <t>C00005</t>
        </is>
      </c>
      <c r="B9" s="8" t="inlineStr">
        <is>
          <t>Balkan Dış Ticaret</t>
        </is>
      </c>
      <c r="C9" s="12" t="n">
        <v>185000</v>
      </c>
      <c r="D9" s="12" t="n">
        <v>120000</v>
      </c>
      <c r="E9" s="12">
        <f>C9-D9</f>
        <v/>
      </c>
      <c r="F9" s="13">
        <f>E9/C9</f>
        <v/>
      </c>
    </row>
    <row r="10">
      <c r="A10" s="14" t="inlineStr">
        <is>
          <t>C00006</t>
        </is>
      </c>
      <c r="B10" s="9" t="inlineStr">
        <is>
          <t>Ova Perakende Grubu</t>
        </is>
      </c>
      <c r="C10" s="15" t="n">
        <v>160000</v>
      </c>
      <c r="D10" s="15" t="n">
        <v>105000</v>
      </c>
      <c r="E10" s="15">
        <f>C10-D10</f>
        <v/>
      </c>
      <c r="F10" s="16">
        <f>E10/C10</f>
        <v/>
      </c>
    </row>
    <row r="11">
      <c r="A11" s="11" t="inlineStr">
        <is>
          <t>C00007</t>
        </is>
      </c>
      <c r="B11" s="8" t="inlineStr">
        <is>
          <t>Ege Global Pazarlama</t>
        </is>
      </c>
      <c r="C11" s="12" t="n">
        <v>140000</v>
      </c>
      <c r="D11" s="12" t="n">
        <v>92000</v>
      </c>
      <c r="E11" s="12">
        <f>C11-D11</f>
        <v/>
      </c>
      <c r="F11" s="13">
        <f>E11/C11</f>
        <v/>
      </c>
    </row>
    <row r="12">
      <c r="A12" s="14" t="inlineStr">
        <is>
          <t>C00008</t>
        </is>
      </c>
      <c r="B12" s="9" t="inlineStr">
        <is>
          <t>Merkez Yapı Marketleri</t>
        </is>
      </c>
      <c r="C12" s="15" t="n">
        <v>125000</v>
      </c>
      <c r="D12" s="15" t="n">
        <v>80000</v>
      </c>
      <c r="E12" s="15">
        <f>C12-D12</f>
        <v/>
      </c>
      <c r="F12" s="16">
        <f>E12/C12</f>
        <v/>
      </c>
    </row>
    <row r="13">
      <c r="A13" s="11" t="inlineStr">
        <is>
          <t>C00009</t>
        </is>
      </c>
      <c r="B13" s="8" t="inlineStr">
        <is>
          <t>Kuzey Depoculuk</t>
        </is>
      </c>
      <c r="C13" s="12" t="n">
        <v>98000</v>
      </c>
      <c r="D13" s="12" t="n">
        <v>68000</v>
      </c>
      <c r="E13" s="12">
        <f>C13-D13</f>
        <v/>
      </c>
      <c r="F13" s="13">
        <f>E13/C13</f>
        <v/>
      </c>
    </row>
    <row r="14">
      <c r="A14" s="17" t="inlineStr">
        <is>
          <t>Toplam / Ort</t>
        </is>
      </c>
      <c r="B14" s="18" t="inlineStr">
        <is>
          <t>Güney Tekstil Ticaret</t>
        </is>
      </c>
      <c r="C14" s="19">
        <f>SUM(C5:C13)</f>
        <v/>
      </c>
      <c r="D14" s="19">
        <f>SUM(D5:D13)</f>
        <v/>
      </c>
      <c r="E14" s="19">
        <f>SUM(E5:E13)</f>
        <v/>
      </c>
      <c r="F14" s="20">
        <f>E14/C14</f>
        <v/>
      </c>
    </row>
  </sheetData>
  <autoFilter ref="A4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25" customWidth="1" min="4" max="4"/>
    <col width="25" customWidth="1" min="5" max="5"/>
    <col width="18" customWidth="1" min="6" max="6"/>
    <col width="19" customWidth="1" min="7" max="7"/>
  </cols>
  <sheetData>
    <row r="1"/>
    <row r="2">
      <c r="A2" s="1" t="inlineStr">
        <is>
          <t>6 Aylık Dönemsel Nakit Akışı Tahmini</t>
        </is>
      </c>
    </row>
    <row r="3"/>
    <row r="4">
      <c r="A4" s="10" t="inlineStr">
        <is>
          <t>Dönem (Ay)</t>
        </is>
      </c>
      <c r="B4" s="10" t="inlineStr">
        <is>
          <t>Açılış Banka Bakiyesi</t>
        </is>
      </c>
      <c r="C4" s="10" t="inlineStr">
        <is>
          <t>Müşteri Tahsilatları (A/R)</t>
        </is>
      </c>
      <c r="D4" s="10" t="inlineStr">
        <is>
          <t>Satıcı Ödemeleri (A/P)</t>
        </is>
      </c>
      <c r="E4" s="10" t="inlineStr">
        <is>
          <t>Personel &amp; Operasyonel</t>
        </is>
      </c>
      <c r="F4" s="10" t="inlineStr">
        <is>
          <t>Net Nakit Akışı</t>
        </is>
      </c>
      <c r="G4" s="10" t="inlineStr">
        <is>
          <t>Kapanış Bakiyesi</t>
        </is>
      </c>
    </row>
    <row r="5">
      <c r="A5" s="11" t="inlineStr">
        <is>
          <t>Temmuz 2026</t>
        </is>
      </c>
      <c r="B5" s="12" t="n">
        <v>1200000</v>
      </c>
      <c r="C5" s="12" t="n">
        <v>450000</v>
      </c>
      <c r="D5" s="12" t="n">
        <v>-210000</v>
      </c>
      <c r="E5" s="12" t="n">
        <v>-130000</v>
      </c>
      <c r="F5" s="12">
        <f>SUM(C5:E5)</f>
        <v/>
      </c>
      <c r="G5" s="12">
        <f>B5+F5</f>
        <v/>
      </c>
    </row>
    <row r="6">
      <c r="A6" s="14" t="inlineStr">
        <is>
          <t>Ağustos 2026</t>
        </is>
      </c>
      <c r="B6" s="15">
        <f>G5</f>
        <v/>
      </c>
      <c r="C6" s="15" t="n">
        <v>480000</v>
      </c>
      <c r="D6" s="15" t="n">
        <v>-195000</v>
      </c>
      <c r="E6" s="15" t="n">
        <v>-130000</v>
      </c>
      <c r="F6" s="15">
        <f>SUM(C6:E6)</f>
        <v/>
      </c>
      <c r="G6" s="15">
        <f>B6+F6</f>
        <v/>
      </c>
    </row>
    <row r="7">
      <c r="A7" s="11" t="inlineStr">
        <is>
          <t>Eylül 2026</t>
        </is>
      </c>
      <c r="B7" s="12">
        <f>G6</f>
        <v/>
      </c>
      <c r="C7" s="12" t="n">
        <v>520000</v>
      </c>
      <c r="D7" s="12" t="n">
        <v>-240000</v>
      </c>
      <c r="E7" s="12" t="n">
        <v>-140000</v>
      </c>
      <c r="F7" s="12">
        <f>SUM(C7:E7)</f>
        <v/>
      </c>
      <c r="G7" s="12">
        <f>B7+F7</f>
        <v/>
      </c>
    </row>
    <row r="8">
      <c r="A8" s="14" t="inlineStr">
        <is>
          <t>Ekim 2026</t>
        </is>
      </c>
      <c r="B8" s="15">
        <f>G7</f>
        <v/>
      </c>
      <c r="C8" s="15" t="n">
        <v>410000</v>
      </c>
      <c r="D8" s="15" t="n">
        <v>-180000</v>
      </c>
      <c r="E8" s="15" t="n">
        <v>-130000</v>
      </c>
      <c r="F8" s="15">
        <f>SUM(C8:E8)</f>
        <v/>
      </c>
      <c r="G8" s="15">
        <f>B8+F8</f>
        <v/>
      </c>
    </row>
    <row r="9">
      <c r="A9" s="11" t="inlineStr">
        <is>
          <t>Kasım 2026</t>
        </is>
      </c>
      <c r="B9" s="12">
        <f>G8</f>
        <v/>
      </c>
      <c r="C9" s="12" t="n">
        <v>490000</v>
      </c>
      <c r="D9" s="12" t="n">
        <v>-220000</v>
      </c>
      <c r="E9" s="12" t="n">
        <v>-135000</v>
      </c>
      <c r="F9" s="12">
        <f>SUM(C9:E9)</f>
        <v/>
      </c>
      <c r="G9" s="12">
        <f>B9+F9</f>
        <v/>
      </c>
    </row>
    <row r="10">
      <c r="A10" s="14" t="inlineStr">
        <is>
          <t>Aralık 2026</t>
        </is>
      </c>
      <c r="B10" s="15">
        <f>G9</f>
        <v/>
      </c>
      <c r="C10" s="15" t="n">
        <v>650000</v>
      </c>
      <c r="D10" s="15" t="n">
        <v>-310000</v>
      </c>
      <c r="E10" s="15" t="n">
        <v>-160000</v>
      </c>
      <c r="F10" s="15">
        <f>SUM(C10:E10)</f>
        <v/>
      </c>
      <c r="G10" s="15">
        <f>B10+F10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1" customWidth="1" min="3" max="3"/>
    <col width="18" customWidth="1" min="4" max="4"/>
    <col width="19" customWidth="1" min="5" max="5"/>
    <col width="20" customWidth="1" min="6" max="6"/>
    <col width="20" customWidth="1" min="7" max="7"/>
    <col width="18" customWidth="1" min="8" max="8"/>
  </cols>
  <sheetData>
    <row r="1"/>
    <row r="2">
      <c r="A2" s="1" t="inlineStr">
        <is>
          <t>Müşteri Borç Yaşlandırma Raporu (A/R Aging)</t>
        </is>
      </c>
    </row>
    <row r="3"/>
    <row r="4">
      <c r="A4" s="10" t="inlineStr">
        <is>
          <t>Müşteri Kodu</t>
        </is>
      </c>
      <c r="B4" s="10" t="inlineStr">
        <is>
          <t>Müşteri Adı</t>
        </is>
      </c>
      <c r="C4" s="10" t="inlineStr">
        <is>
          <t>Toplam Açık Bakiye</t>
        </is>
      </c>
      <c r="D4" s="10" t="inlineStr">
        <is>
          <t>Vadesi Gelmemiş</t>
        </is>
      </c>
      <c r="E4" s="10" t="inlineStr">
        <is>
          <t>1-30 Gün Geciken</t>
        </is>
      </c>
      <c r="F4" s="10" t="inlineStr">
        <is>
          <t>31-60 Gün Geciken</t>
        </is>
      </c>
      <c r="G4" s="10" t="inlineStr">
        <is>
          <t>61-90 Gün Geciken</t>
        </is>
      </c>
      <c r="H4" s="10" t="inlineStr">
        <is>
          <t>90+ Gün Geciken</t>
        </is>
      </c>
    </row>
    <row r="5">
      <c r="A5" s="11" t="inlineStr">
        <is>
          <t>C00001</t>
        </is>
      </c>
      <c r="B5" s="8" t="inlineStr">
        <is>
          <t>Anadolu Sanayi Ticaret</t>
        </is>
      </c>
      <c r="C5" s="12">
        <f>SUM(D5:H5)</f>
        <v/>
      </c>
      <c r="D5" s="12" t="n">
        <v>120000</v>
      </c>
      <c r="E5" s="12" t="n">
        <v>45000</v>
      </c>
      <c r="F5" s="12" t="n">
        <v>10000</v>
      </c>
      <c r="G5" s="12" t="n">
        <v>0</v>
      </c>
      <c r="H5" s="12" t="n">
        <v>0</v>
      </c>
    </row>
    <row r="6">
      <c r="A6" s="14" t="inlineStr">
        <is>
          <t>C00002</t>
        </is>
      </c>
      <c r="B6" s="9" t="inlineStr">
        <is>
          <t>Avrupa Dağıtım Ltd.</t>
        </is>
      </c>
      <c r="C6" s="15">
        <f>SUM(D6:H6)</f>
        <v/>
      </c>
      <c r="D6" s="15" t="n">
        <v>95000</v>
      </c>
      <c r="E6" s="15" t="n">
        <v>0</v>
      </c>
      <c r="F6" s="15" t="n">
        <v>35000</v>
      </c>
      <c r="G6" s="15" t="n">
        <v>15000</v>
      </c>
      <c r="H6" s="15" t="n">
        <v>0</v>
      </c>
    </row>
    <row r="7">
      <c r="A7" s="11" t="inlineStr">
        <is>
          <t>C00003</t>
        </is>
      </c>
      <c r="B7" s="8" t="inlineStr">
        <is>
          <t>Net Lojistik Hizmetleri</t>
        </is>
      </c>
      <c r="C7" s="12">
        <f>SUM(D7:H7)</f>
        <v/>
      </c>
      <c r="D7" s="12" t="n">
        <v>0</v>
      </c>
      <c r="E7" s="12" t="n">
        <v>40000</v>
      </c>
      <c r="F7" s="12" t="n">
        <v>15000</v>
      </c>
      <c r="G7" s="12" t="n">
        <v>8000</v>
      </c>
      <c r="H7" s="12" t="n">
        <v>12000</v>
      </c>
    </row>
    <row r="8">
      <c r="A8" s="14" t="inlineStr">
        <is>
          <t>C00004</t>
        </is>
      </c>
      <c r="B8" s="9" t="inlineStr">
        <is>
          <t>Zirve Holding A.Ş.</t>
        </is>
      </c>
      <c r="C8" s="15">
        <f>SUM(D8:H8)</f>
        <v/>
      </c>
      <c r="D8" s="15" t="n">
        <v>45000</v>
      </c>
      <c r="E8" s="15" t="n">
        <v>15000</v>
      </c>
      <c r="F8" s="15" t="n">
        <v>0</v>
      </c>
      <c r="G8" s="15" t="n">
        <v>0</v>
      </c>
      <c r="H8" s="15" t="n">
        <v>0</v>
      </c>
    </row>
    <row r="9">
      <c r="A9" s="11" t="inlineStr">
        <is>
          <t>C00005</t>
        </is>
      </c>
      <c r="B9" s="8" t="inlineStr">
        <is>
          <t>Balkan Dış Ticaret</t>
        </is>
      </c>
      <c r="C9" s="12">
        <f>SUM(D9:H9)</f>
        <v/>
      </c>
      <c r="D9" s="12" t="n">
        <v>115000</v>
      </c>
      <c r="E9" s="12" t="n">
        <v>0</v>
      </c>
      <c r="F9" s="12" t="n">
        <v>0</v>
      </c>
      <c r="G9" s="12" t="n">
        <v>45000</v>
      </c>
      <c r="H9" s="12" t="n">
        <v>35000</v>
      </c>
    </row>
    <row r="10">
      <c r="A10" s="14" t="inlineStr">
        <is>
          <t>C00006</t>
        </is>
      </c>
      <c r="B10" s="9" t="inlineStr">
        <is>
          <t>Ova Perakende Grubu</t>
        </is>
      </c>
      <c r="C10" s="15">
        <f>SUM(D10:H10)</f>
        <v/>
      </c>
      <c r="D10" s="15" t="n">
        <v>25000</v>
      </c>
      <c r="E10" s="15" t="n">
        <v>30000</v>
      </c>
      <c r="F10" s="15" t="n">
        <v>0</v>
      </c>
      <c r="G10" s="15" t="n">
        <v>0</v>
      </c>
      <c r="H10" s="15" t="n">
        <v>0</v>
      </c>
    </row>
    <row r="11">
      <c r="A11" s="11" t="inlineStr">
        <is>
          <t>C00007</t>
        </is>
      </c>
      <c r="B11" s="8" t="inlineStr">
        <is>
          <t>Ege Global Pazarlama</t>
        </is>
      </c>
      <c r="C11" s="12">
        <f>SUM(D11:H11)</f>
        <v/>
      </c>
      <c r="D11" s="12" t="n">
        <v>0</v>
      </c>
      <c r="E11" s="12" t="n">
        <v>12000</v>
      </c>
      <c r="F11" s="12" t="n">
        <v>8000</v>
      </c>
      <c r="G11" s="12" t="n">
        <v>0</v>
      </c>
      <c r="H11" s="12" t="n">
        <v>0</v>
      </c>
    </row>
    <row r="12">
      <c r="A12" s="14" t="inlineStr">
        <is>
          <t>C00008</t>
        </is>
      </c>
      <c r="B12" s="9" t="inlineStr">
        <is>
          <t>Merkez Yapı Marketleri</t>
        </is>
      </c>
      <c r="C12" s="15">
        <f>SUM(D12:H12)</f>
        <v/>
      </c>
      <c r="D12" s="15" t="n">
        <v>65000</v>
      </c>
      <c r="E12" s="15" t="n">
        <v>0</v>
      </c>
      <c r="F12" s="15" t="n">
        <v>0</v>
      </c>
      <c r="G12" s="15" t="n">
        <v>0</v>
      </c>
      <c r="H12" s="15" t="n">
        <v>0</v>
      </c>
    </row>
    <row r="13">
      <c r="A13" s="17" t="inlineStr">
        <is>
          <t>Toplam</t>
        </is>
      </c>
      <c r="B13" s="18" t="n"/>
      <c r="C13" s="19">
        <f>SUM(C5:C12)</f>
        <v/>
      </c>
      <c r="D13" s="19">
        <f>SUM(D5:D12)</f>
        <v/>
      </c>
      <c r="E13" s="19">
        <f>SUM(E5:E12)</f>
        <v/>
      </c>
      <c r="F13" s="19">
        <f>SUM(F5:F12)</f>
        <v/>
      </c>
      <c r="G13" s="19">
        <f>SUM(G5:G12)</f>
        <v/>
      </c>
      <c r="H13" s="19">
        <f>SUM(H5:H12)</f>
        <v/>
      </c>
    </row>
  </sheetData>
  <conditionalFormatting sqref="H5:H12">
    <cfRule type="cellIs" priority="1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15" customWidth="1" min="4" max="4"/>
    <col width="19" customWidth="1" min="5" max="5"/>
    <col width="21" customWidth="1" min="6" max="6"/>
    <col width="21" customWidth="1" min="7" max="7"/>
    <col width="16" customWidth="1" min="8" max="8"/>
  </cols>
  <sheetData>
    <row r="1"/>
    <row r="2">
      <c r="A2" s="1" t="inlineStr">
        <is>
          <t>Stok Değerleme ve Durum Analiz Raporu</t>
        </is>
      </c>
    </row>
    <row r="3"/>
    <row r="4">
      <c r="A4" s="10" t="inlineStr">
        <is>
          <t>Kalem Kodu</t>
        </is>
      </c>
      <c r="B4" s="10" t="inlineStr">
        <is>
          <t>Kalem Açıklaması</t>
        </is>
      </c>
      <c r="C4" s="10" t="inlineStr">
        <is>
          <t>Kalem Grubu</t>
        </is>
      </c>
      <c r="D4" s="10" t="inlineStr">
        <is>
          <t>Depo Miktarı</t>
        </is>
      </c>
      <c r="E4" s="10" t="inlineStr">
        <is>
          <t>Ortalama Maliyet</t>
        </is>
      </c>
      <c r="F4" s="10" t="inlineStr">
        <is>
          <t>Toplam Stok Değeri</t>
        </is>
      </c>
      <c r="G4" s="10" t="inlineStr">
        <is>
          <t>Son Hareket Tarihi</t>
        </is>
      </c>
      <c r="H4" s="10" t="inlineStr">
        <is>
          <t>Durum Bilgisi</t>
        </is>
      </c>
    </row>
    <row r="5">
      <c r="A5" s="11" t="inlineStr">
        <is>
          <t>I001</t>
        </is>
      </c>
      <c r="B5" s="8" t="inlineStr">
        <is>
          <t>Sunucu Anakart V4</t>
        </is>
      </c>
      <c r="C5" s="11" t="inlineStr">
        <is>
          <t>Elektronik</t>
        </is>
      </c>
      <c r="D5" s="21" t="n">
        <v>150</v>
      </c>
      <c r="E5" s="12" t="n">
        <v>4200</v>
      </c>
      <c r="F5" s="12">
        <f>D5*E5</f>
        <v/>
      </c>
      <c r="G5" s="11" t="inlineStr">
        <is>
          <t>2026-06-15</t>
        </is>
      </c>
      <c r="H5" s="11" t="inlineStr">
        <is>
          <t>Aktif</t>
        </is>
      </c>
    </row>
    <row r="6">
      <c r="A6" s="14" t="inlineStr">
        <is>
          <t>I002</t>
        </is>
      </c>
      <c r="B6" s="9" t="inlineStr">
        <is>
          <t>DDR5 32GB RAM</t>
        </is>
      </c>
      <c r="C6" s="14" t="inlineStr">
        <is>
          <t>Elektronik</t>
        </is>
      </c>
      <c r="D6" s="22" t="n">
        <v>680</v>
      </c>
      <c r="E6" s="15" t="n">
        <v>1100</v>
      </c>
      <c r="F6" s="15">
        <f>D6*E6</f>
        <v/>
      </c>
      <c r="G6" s="14" t="inlineStr">
        <is>
          <t>2026-06-24</t>
        </is>
      </c>
      <c r="H6" s="14" t="inlineStr">
        <is>
          <t>Hızlı Hareket</t>
        </is>
      </c>
    </row>
    <row r="7">
      <c r="A7" s="11" t="inlineStr">
        <is>
          <t>I003</t>
        </is>
      </c>
      <c r="B7" s="8" t="inlineStr">
        <is>
          <t>1TB NVMe SSD</t>
        </is>
      </c>
      <c r="C7" s="11" t="inlineStr">
        <is>
          <t>Elektronik</t>
        </is>
      </c>
      <c r="D7" s="21" t="n">
        <v>420</v>
      </c>
      <c r="E7" s="12" t="n">
        <v>1350</v>
      </c>
      <c r="F7" s="12">
        <f>D7*E7</f>
        <v/>
      </c>
      <c r="G7" s="11" t="inlineStr">
        <is>
          <t>2026-06-20</t>
        </is>
      </c>
      <c r="H7" s="11" t="inlineStr">
        <is>
          <t>Hızlı Hareket</t>
        </is>
      </c>
    </row>
    <row r="8">
      <c r="A8" s="14" t="inlineStr">
        <is>
          <t>I004</t>
        </is>
      </c>
      <c r="B8" s="9" t="inlineStr">
        <is>
          <t>650W Güç Kaynağı</t>
        </is>
      </c>
      <c r="C8" s="14" t="inlineStr">
        <is>
          <t>Aksesuar</t>
        </is>
      </c>
      <c r="D8" s="22" t="n">
        <v>85</v>
      </c>
      <c r="E8" s="15" t="n">
        <v>950</v>
      </c>
      <c r="F8" s="15">
        <f>D8*E8</f>
        <v/>
      </c>
      <c r="G8" s="14" t="inlineStr">
        <is>
          <t>2026-04-10</t>
        </is>
      </c>
      <c r="H8" s="14" t="inlineStr">
        <is>
          <t>Yavaş Hareket</t>
        </is>
      </c>
    </row>
    <row r="9">
      <c r="A9" s="11" t="inlineStr">
        <is>
          <t>I005</t>
        </is>
      </c>
      <c r="B9" s="8" t="inlineStr">
        <is>
          <t>Alüminyum Kasa Pro</t>
        </is>
      </c>
      <c r="C9" s="11" t="inlineStr">
        <is>
          <t>Donanım</t>
        </is>
      </c>
      <c r="D9" s="21" t="n">
        <v>40</v>
      </c>
      <c r="E9" s="12" t="n">
        <v>2100</v>
      </c>
      <c r="F9" s="12">
        <f>D9*E9</f>
        <v/>
      </c>
      <c r="G9" s="11" t="inlineStr">
        <is>
          <t>2026-03-02</t>
        </is>
      </c>
      <c r="H9" s="11" t="inlineStr">
        <is>
          <t>Yavaş Hareket</t>
        </is>
      </c>
    </row>
    <row r="10">
      <c r="A10" s="14" t="inlineStr">
        <is>
          <t>I006</t>
        </is>
      </c>
      <c r="B10" s="9" t="inlineStr">
        <is>
          <t>Sıvı Soğutma Kiti</t>
        </is>
      </c>
      <c r="C10" s="14" t="inlineStr">
        <is>
          <t>Aksesuar</t>
        </is>
      </c>
      <c r="D10" s="22" t="n">
        <v>110</v>
      </c>
      <c r="E10" s="15" t="n">
        <v>1600</v>
      </c>
      <c r="F10" s="15">
        <f>D10*E10</f>
        <v/>
      </c>
      <c r="G10" s="14" t="inlineStr">
        <is>
          <t>2026-06-11</t>
        </is>
      </c>
      <c r="H10" s="14" t="inlineStr">
        <is>
          <t>Aktif</t>
        </is>
      </c>
    </row>
    <row r="11">
      <c r="A11" s="11" t="inlineStr">
        <is>
          <t>I007</t>
        </is>
      </c>
      <c r="B11" s="8" t="inlineStr">
        <is>
          <t>İşlemci Soğutucu Mini</t>
        </is>
      </c>
      <c r="C11" s="11" t="inlineStr">
        <is>
          <t>Aksesuar</t>
        </is>
      </c>
      <c r="D11" s="21" t="n">
        <v>310</v>
      </c>
      <c r="E11" s="12" t="n">
        <v>450</v>
      </c>
      <c r="F11" s="12">
        <f>D11*E11</f>
        <v/>
      </c>
      <c r="G11" s="11" t="inlineStr">
        <is>
          <t>2025-12-15</t>
        </is>
      </c>
      <c r="H11" s="11" t="inlineStr">
        <is>
          <t>Kritik / Atıl</t>
        </is>
      </c>
    </row>
    <row r="12">
      <c r="A12" s="14" t="inlineStr">
        <is>
          <t>I008</t>
        </is>
      </c>
      <c r="B12" s="9" t="inlineStr">
        <is>
          <t>Cat6 Ağ Kablosu 10m</t>
        </is>
      </c>
      <c r="C12" s="14" t="inlineStr">
        <is>
          <t>Kablolar</t>
        </is>
      </c>
      <c r="D12" s="22" t="n">
        <v>1200</v>
      </c>
      <c r="E12" s="15" t="n">
        <v>85</v>
      </c>
      <c r="F12" s="15">
        <f>D12*E12</f>
        <v/>
      </c>
      <c r="G12" s="14" t="inlineStr">
        <is>
          <t>2026-06-25</t>
        </is>
      </c>
      <c r="H12" s="14" t="inlineStr">
        <is>
          <t>Hızlı Hareket</t>
        </is>
      </c>
    </row>
    <row r="13">
      <c r="A13" s="11" t="inlineStr">
        <is>
          <t>I009</t>
        </is>
      </c>
      <c r="B13" s="8" t="inlineStr">
        <is>
          <t>HDMI Kablo Altın Uç</t>
        </is>
      </c>
      <c r="C13" s="11" t="inlineStr">
        <is>
          <t>Kablolar</t>
        </is>
      </c>
      <c r="D13" s="21" t="n">
        <v>850</v>
      </c>
      <c r="E13" s="12" t="n">
        <v>120</v>
      </c>
      <c r="F13" s="12">
        <f>D13*E13</f>
        <v/>
      </c>
      <c r="G13" s="11" t="inlineStr">
        <is>
          <t>2026-05-30</t>
        </is>
      </c>
      <c r="H13" s="11" t="inlineStr">
        <is>
          <t>Aktif</t>
        </is>
      </c>
    </row>
    <row r="14">
      <c r="A14" s="17" t="inlineStr">
        <is>
          <t>Toplam</t>
        </is>
      </c>
      <c r="D14" s="23">
        <f>SUM(D5:D13)</f>
        <v/>
      </c>
      <c r="F14" s="19">
        <f>SUM(F5:F13)</f>
        <v/>
      </c>
    </row>
  </sheetData>
  <autoFilter ref="A4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/>
    <row r="2">
      <c r="A2" s="1" t="inlineStr">
        <is>
          <t>Bütçe ve Fiili Operasyonel Gider Karşılaştırma Raporu</t>
        </is>
      </c>
    </row>
    <row r="3"/>
    <row r="4">
      <c r="A4" s="10" t="inlineStr">
        <is>
          <t>Hesap Kodu</t>
        </is>
      </c>
      <c r="B4" s="10" t="inlineStr">
        <is>
          <t>Gider Grubu / Hesap Adı</t>
        </is>
      </c>
      <c r="C4" s="10" t="inlineStr">
        <is>
          <t>Yıllık Bütçe</t>
        </is>
      </c>
      <c r="D4" s="10" t="inlineStr">
        <is>
          <t>Dönemsel Hedef (YTD)</t>
        </is>
      </c>
      <c r="E4" s="10" t="inlineStr">
        <is>
          <t>Fiili Harcama (YTD)</t>
        </is>
      </c>
      <c r="F4" s="10" t="inlineStr">
        <is>
          <t>Sapma (Tutar)</t>
        </is>
      </c>
      <c r="G4" s="10" t="inlineStr">
        <is>
          <t>Bütçe Gerçekleşme %</t>
        </is>
      </c>
    </row>
    <row r="5">
      <c r="A5" s="11" t="inlineStr">
        <is>
          <t>770.001</t>
        </is>
      </c>
      <c r="B5" s="8" t="inlineStr">
        <is>
          <t>Personel Maaş ve Ücretleri</t>
        </is>
      </c>
      <c r="C5" s="12" t="n">
        <v>2400000</v>
      </c>
      <c r="D5" s="12" t="n">
        <v>1200000</v>
      </c>
      <c r="E5" s="12" t="n">
        <v>1180000</v>
      </c>
      <c r="F5" s="12">
        <f>D5-E5</f>
        <v/>
      </c>
      <c r="G5" s="13">
        <f>E5/D5</f>
        <v/>
      </c>
    </row>
    <row r="6">
      <c r="A6" s="14" t="inlineStr">
        <is>
          <t>770.002</t>
        </is>
      </c>
      <c r="B6" s="9" t="inlineStr">
        <is>
          <t>Pazarlama ve Reklam Giderleri</t>
        </is>
      </c>
      <c r="C6" s="15" t="n">
        <v>800000</v>
      </c>
      <c r="D6" s="15" t="n">
        <v>400000</v>
      </c>
      <c r="E6" s="15" t="n">
        <v>445000</v>
      </c>
      <c r="F6" s="15">
        <f>D6-E6</f>
        <v/>
      </c>
      <c r="G6" s="16">
        <f>E6/D6</f>
        <v/>
      </c>
    </row>
    <row r="7">
      <c r="A7" s="11" t="inlineStr">
        <is>
          <t>770.003</t>
        </is>
      </c>
      <c r="B7" s="8" t="inlineStr">
        <is>
          <t>Ofis Kira ve Genel Giderler</t>
        </is>
      </c>
      <c r="C7" s="12" t="n">
        <v>600000</v>
      </c>
      <c r="D7" s="12" t="n">
        <v>300000</v>
      </c>
      <c r="E7" s="12" t="n">
        <v>305000</v>
      </c>
      <c r="F7" s="12">
        <f>D7-E7</f>
        <v/>
      </c>
      <c r="G7" s="13">
        <f>E7/D7</f>
        <v/>
      </c>
    </row>
    <row r="8">
      <c r="A8" s="14" t="inlineStr">
        <is>
          <t>770.004</t>
        </is>
      </c>
      <c r="B8" s="9" t="inlineStr">
        <is>
          <t>Araç Kiralama ve Yakıt Gideri</t>
        </is>
      </c>
      <c r="C8" s="15" t="n">
        <v>450000</v>
      </c>
      <c r="D8" s="15" t="n">
        <v>225000</v>
      </c>
      <c r="E8" s="15" t="n">
        <v>260000</v>
      </c>
      <c r="F8" s="15">
        <f>D8-E8</f>
        <v/>
      </c>
      <c r="G8" s="16">
        <f>E8/D8</f>
        <v/>
      </c>
    </row>
    <row r="9">
      <c r="A9" s="11" t="inlineStr">
        <is>
          <t>770.005</t>
        </is>
      </c>
      <c r="B9" s="8" t="inlineStr">
        <is>
          <t>Danışmanlık ve Hukuk</t>
        </is>
      </c>
      <c r="C9" s="12" t="n">
        <v>300000</v>
      </c>
      <c r="D9" s="12" t="n">
        <v>150000</v>
      </c>
      <c r="E9" s="12" t="n">
        <v>120000</v>
      </c>
      <c r="F9" s="12">
        <f>D9-E9</f>
        <v/>
      </c>
      <c r="G9" s="13">
        <f>E9/D9</f>
        <v/>
      </c>
    </row>
    <row r="10">
      <c r="A10" s="14" t="inlineStr">
        <is>
          <t>770.006</t>
        </is>
      </c>
      <c r="B10" s="9" t="inlineStr">
        <is>
          <t>Seyahat ve Konaklama</t>
        </is>
      </c>
      <c r="C10" s="15" t="n">
        <v>250000</v>
      </c>
      <c r="D10" s="15" t="n">
        <v>125000</v>
      </c>
      <c r="E10" s="15" t="n">
        <v>112000</v>
      </c>
      <c r="F10" s="15">
        <f>D10-E10</f>
        <v/>
      </c>
      <c r="G10" s="16">
        <f>E10/D10</f>
        <v/>
      </c>
    </row>
    <row r="11">
      <c r="A11" s="11" t="inlineStr">
        <is>
          <t>770.007</t>
        </is>
      </c>
      <c r="B11" s="8" t="inlineStr">
        <is>
          <t>Bilişim ve Yazılım Altyapı</t>
        </is>
      </c>
      <c r="C11" s="12" t="n">
        <v>400000</v>
      </c>
      <c r="D11" s="12" t="n">
        <v>200000</v>
      </c>
      <c r="E11" s="12" t="n">
        <v>208000</v>
      </c>
      <c r="F11" s="12">
        <f>D11-E11</f>
        <v/>
      </c>
      <c r="G11" s="13">
        <f>E11/D11</f>
        <v/>
      </c>
    </row>
    <row r="12">
      <c r="A12" s="14" t="inlineStr">
        <is>
          <t>770.008</t>
        </is>
      </c>
      <c r="B12" s="9" t="inlineStr">
        <is>
          <t>Eğitim ve İK Giderleri</t>
        </is>
      </c>
      <c r="C12" s="15" t="n">
        <v>150000</v>
      </c>
      <c r="D12" s="15" t="n">
        <v>75000</v>
      </c>
      <c r="E12" s="15" t="n">
        <v>45000</v>
      </c>
      <c r="F12" s="15">
        <f>D12-E12</f>
        <v/>
      </c>
      <c r="G12" s="16">
        <f>E12/D12</f>
        <v/>
      </c>
    </row>
    <row r="13">
      <c r="A13" s="17" t="inlineStr">
        <is>
          <t>Toplam</t>
        </is>
      </c>
      <c r="B13" s="18" t="n"/>
      <c r="C13" s="19">
        <f>SUM(C5:C12)</f>
        <v/>
      </c>
      <c r="D13" s="19">
        <f>SUM(D5:D12)</f>
        <v/>
      </c>
      <c r="E13" s="19">
        <f>SUM(E5:E12)</f>
        <v/>
      </c>
      <c r="F13" s="19">
        <f>D13-E13</f>
        <v/>
      </c>
      <c r="G13" s="20">
        <f>E13/D13</f>
        <v/>
      </c>
    </row>
  </sheetData>
  <conditionalFormatting sqref="G5:G12">
    <cfRule type="cellIs" priority="1" operator="greaterThan" dxfId="0">
      <formula>1.0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2026-06-25T09:12:01Z</dcterms:created>
  <dcterms:modified xsi:type="dcterms:W3CDTF">2026-06-25T09:12:01Z</dcterms:modified>
</cp:coreProperties>
</file>