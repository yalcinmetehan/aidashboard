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onetim_Paneli" sheetId="1" state="visible" r:id="rId1"/>
    <sheet name="Satis_Karlilik" sheetId="2" state="visible" r:id="rId2"/>
    <sheet name="Nakit_Akisi" sheetId="3" state="visible" r:id="rId3"/>
    <sheet name="Musteri_Yaslandirma" sheetId="4" state="visible" r:id="rId4"/>
    <sheet name="Stok_Analizi" sheetId="5" state="visible" r:id="rId5"/>
    <sheet name="Butce_Gi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₺"/>
    <numFmt numFmtId="165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1E293B"/>
      <sz val="18"/>
    </font>
    <font>
      <name val="Segoe UI"/>
      <color rgb="0064748B"/>
      <sz val="11"/>
    </font>
    <font>
      <name val="Segoe UI"/>
      <b val="1"/>
      <color rgb="001E293B"/>
      <sz val="11"/>
    </font>
    <font>
      <name val="Segoe UI"/>
      <b val="1"/>
      <color rgb="0064748B"/>
      <sz val="10"/>
    </font>
    <font>
      <name val="Segoe UI"/>
      <b val="1"/>
      <color rgb="001E293B"/>
      <sz val="16"/>
    </font>
    <font>
      <name val="Segoe UI"/>
      <b val="1"/>
      <color rgb="000000FF"/>
      <u val="single"/>
    </font>
    <font>
      <name val="Segoe UI"/>
      <b val="1"/>
      <color rgb="00FFFFFF"/>
    </font>
    <font>
      <name val="Segoe UI"/>
      <sz val="10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</patternFill>
    </fill>
    <fill>
      <patternFill patternType="solid">
        <fgColor rgb="001E293B"/>
      </patternFill>
    </fill>
  </fills>
  <borders count="1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ck">
        <color rgb="004F46E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ck">
        <color rgb="0010B98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ck">
        <color rgb="00F59E0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ck">
        <color rgb="0006B6D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ck">
        <color rgb="00F43F5E"/>
      </bottom>
    </border>
    <border>
      <left style="thin">
        <color rgb="00E2E8F0"/>
      </left>
      <right style="thin">
        <color rgb="00E2E8F0"/>
      </right>
      <top style="thin">
        <color rgb="00E2E8F0"/>
      </top>
    </border>
    <border>
      <left style="thin">
        <color rgb="00E2E8F0"/>
      </left>
      <right style="thin">
        <color rgb="00E2E8F0"/>
      </right>
      <bottom style="thick">
        <color rgb="004F46E5"/>
      </bottom>
    </border>
    <border>
      <left style="thin">
        <color rgb="00E2E8F0"/>
      </left>
      <right style="thin">
        <color rgb="00E2E8F0"/>
      </right>
      <bottom style="thick">
        <color rgb="0010B981"/>
      </bottom>
    </border>
    <border>
      <left style="thin">
        <color rgb="00E2E8F0"/>
      </left>
      <right style="thin">
        <color rgb="00E2E8F0"/>
      </right>
      <bottom style="thick">
        <color rgb="00F59E0B"/>
      </bottom>
    </border>
    <border>
      <left style="thin">
        <color rgb="00E2E8F0"/>
      </left>
      <right style="thin">
        <color rgb="00E2E8F0"/>
      </right>
      <bottom style="thick">
        <color rgb="0006B6D4"/>
      </bottom>
    </border>
    <border>
      <bottom style="thick">
        <color rgb="004F46E5"/>
      </bottom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top style="double">
        <color rgb="001E293B"/>
      </top>
      <bottom style="thin">
        <color rgb="001E293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164" fontId="5" fillId="4" borderId="7" applyAlignment="1" pivotButton="0" quotePrefix="0" xfId="0">
      <alignment horizontal="center" vertical="center"/>
    </xf>
    <xf numFmtId="165" fontId="5" fillId="4" borderId="8" applyAlignment="1" pivotButton="0" quotePrefix="0" xfId="0">
      <alignment horizontal="center" vertical="center"/>
    </xf>
    <xf numFmtId="164" fontId="5" fillId="4" borderId="9" applyAlignment="1" pivotButton="0" quotePrefix="0" xfId="0">
      <alignment horizontal="center" vertical="center"/>
    </xf>
    <xf numFmtId="164" fontId="5" fillId="4" borderId="1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  <xf numFmtId="0" fontId="7" fillId="5" borderId="11" applyAlignment="1" pivotButton="0" quotePrefix="0" xfId="0">
      <alignment horizontal="center" vertical="center"/>
    </xf>
    <xf numFmtId="0" fontId="7" fillId="5" borderId="11" applyAlignment="1" pivotButton="0" quotePrefix="0" xfId="0">
      <alignment horizontal="left" vertical="center"/>
    </xf>
    <xf numFmtId="0" fontId="8" fillId="4" borderId="12" pivotButton="0" quotePrefix="0" xfId="0"/>
    <xf numFmtId="164" fontId="8" fillId="4" borderId="12" applyAlignment="1" pivotButton="0" quotePrefix="0" xfId="0">
      <alignment horizontal="right"/>
    </xf>
    <xf numFmtId="165" fontId="8" fillId="4" borderId="12" applyAlignment="1" pivotButton="0" quotePrefix="0" xfId="0">
      <alignment horizontal="right"/>
    </xf>
    <xf numFmtId="0" fontId="8" fillId="2" borderId="12" pivotButton="0" quotePrefix="0" xfId="0"/>
    <xf numFmtId="164" fontId="8" fillId="2" borderId="12" applyAlignment="1" pivotButton="0" quotePrefix="0" xfId="0">
      <alignment horizontal="right"/>
    </xf>
    <xf numFmtId="165" fontId="8" fillId="2" borderId="12" applyAlignment="1" pivotButton="0" quotePrefix="0" xfId="0">
      <alignment horizontal="right"/>
    </xf>
    <xf numFmtId="0" fontId="9" fillId="0" borderId="13" pivotButton="0" quotePrefix="0" xfId="0"/>
    <xf numFmtId="164" fontId="9" fillId="0" borderId="13" applyAlignment="1" pivotButton="0" quotePrefix="0" xfId="0">
      <alignment horizontal="right"/>
    </xf>
    <xf numFmtId="165" fontId="9" fillId="0" borderId="13" applyAlignment="1" pivotButton="0" quotePrefix="0" xfId="0">
      <alignment horizontal="right"/>
    </xf>
    <xf numFmtId="3" fontId="8" fillId="4" borderId="12" pivotButton="0" quotePrefix="0" xfId="0"/>
    <xf numFmtId="3" fontId="8" fillId="2" borderId="12" pivotButton="0" quotePrefix="0" xfId="0"/>
    <xf numFmtId="3" fontId="9" fillId="0" borderId="13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atis_Karlilik'!A1" TargetMode="External" Id="rId1" /><Relationship Type="http://schemas.openxmlformats.org/officeDocument/2006/relationships/hyperlink" Target="#'Nakit_Akisi'!A1" TargetMode="External" Id="rId2" /><Relationship Type="http://schemas.openxmlformats.org/officeDocument/2006/relationships/hyperlink" Target="#'Musteri_Yaslandirma'!A1" TargetMode="External" Id="rId3" /><Relationship Type="http://schemas.openxmlformats.org/officeDocument/2006/relationships/hyperlink" Target="#'Stok_Analizi'!A1" TargetMode="External" Id="rId4" /><Relationship Type="http://schemas.openxmlformats.org/officeDocument/2006/relationships/hyperlink" Target="#'Butce_Gider'!A1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#'Yonetim_Paneli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Yonetim_Paneli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Yonetim_Paneli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Yonetim_Paneli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Yonetim_Paneli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2" customWidth="1" min="3" max="3"/>
    <col width="24" customWidth="1" min="4" max="4"/>
    <col width="2" customWidth="1" min="5" max="5"/>
    <col width="24" customWidth="1" min="6" max="6"/>
    <col width="2" customWidth="1" min="7" max="7"/>
    <col width="24" customWidth="1" min="8" max="8"/>
    <col width="2" customWidth="1" min="9" max="9"/>
    <col width="24" customWidth="1" min="10" max="10"/>
    <col width="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2" t="inlineStr">
        <is>
          <t>💼 SAP B1 AI 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3" t="inlineStr">
        <is>
          <t>Şirket Üst Yönetimi İçin Stratejik Karar Destek ve Raporlama Platformu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35" customHeight="1">
      <c r="A6" s="1" t="n"/>
      <c r="B6" s="4" t="inlineStr">
        <is>
          <t>📈 1. Satış &amp; Karlılık</t>
        </is>
      </c>
      <c r="C6" s="1" t="n"/>
      <c r="D6" s="5" t="inlineStr">
        <is>
          <t>💵 2. Nakit Akışı</t>
        </is>
      </c>
      <c r="E6" s="1" t="n"/>
      <c r="F6" s="6" t="inlineStr">
        <is>
          <t>⏳ 3. Borç Yaşlandırma</t>
        </is>
      </c>
      <c r="G6" s="1" t="n"/>
      <c r="H6" s="7" t="inlineStr">
        <is>
          <t>📦 4. Stok Analizi</t>
        </is>
      </c>
      <c r="I6" s="1" t="n"/>
      <c r="J6" s="8" t="inlineStr">
        <is>
          <t>🎯 5. Bütçe &amp; Fiili</t>
        </is>
      </c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 ht="20" customHeight="1">
      <c r="A10" s="1" t="n"/>
      <c r="B10" s="9" t="inlineStr">
        <is>
          <t>Toplam Satış Tutarı</t>
        </is>
      </c>
      <c r="C10" s="1" t="n"/>
      <c r="D10" s="9" t="inlineStr">
        <is>
          <t>Ortalama Karlılık</t>
        </is>
      </c>
      <c r="E10" s="1" t="n"/>
      <c r="F10" s="9" t="inlineStr">
        <is>
          <t>Riskli Alacak (90+ Gün)</t>
        </is>
      </c>
      <c r="G10" s="1" t="n"/>
      <c r="H10" s="9" t="inlineStr">
        <is>
          <t>Toplam Stok Değeri</t>
        </is>
      </c>
      <c r="I10" s="1" t="n"/>
      <c r="J10" s="1" t="n"/>
      <c r="K10" s="1" t="n"/>
      <c r="L10" s="1" t="n"/>
      <c r="M10" s="1" t="n"/>
      <c r="N10" s="1" t="n"/>
    </row>
    <row r="11" ht="32" customHeight="1">
      <c r="A11" s="1" t="n"/>
      <c r="B11" s="10">
        <f>'Satis_Karlilik'!C14</f>
        <v/>
      </c>
      <c r="C11" s="1" t="n"/>
      <c r="D11" s="11">
        <f>'Satis_Karlilik'!F14</f>
        <v/>
      </c>
      <c r="E11" s="1" t="n"/>
      <c r="F11" s="12">
        <f>'Musteri_Yaslandirma'!H13</f>
        <v/>
      </c>
      <c r="G11" s="1" t="n"/>
      <c r="H11" s="13">
        <f>'Stok_Analizi'!F14</f>
        <v/>
      </c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F6" r:id="rId3"/>
    <hyperlink xmlns:r="http://schemas.openxmlformats.org/officeDocument/2006/relationships" ref="H6" r:id="rId4"/>
    <hyperlink xmlns:r="http://schemas.openxmlformats.org/officeDocument/2006/relationships" ref="J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  <col width="22" customWidth="1" min="3" max="3"/>
    <col width="18" customWidth="1" min="4" max="4"/>
    <col width="18" customWidth="1" min="5" max="5"/>
    <col width="18" customWidth="1" min="6" max="6"/>
  </cols>
  <sheetData>
    <row r="1">
      <c r="A1" s="14" t="inlineStr">
        <is>
          <t>🏠 Ana Yönetim Paneline Dön</t>
        </is>
      </c>
    </row>
    <row r="2"/>
    <row r="3">
      <c r="A3" s="15" t="inlineStr">
        <is>
          <t>Satis Karlilik Rapor Detayı</t>
        </is>
      </c>
    </row>
    <row r="4"/>
    <row r="5">
      <c r="A5" s="16" t="inlineStr">
        <is>
          <t>Müşteri Kodu</t>
        </is>
      </c>
      <c r="B5" s="17" t="inlineStr">
        <is>
          <t>Müşteri Adı</t>
        </is>
      </c>
      <c r="C5" s="17" t="inlineStr">
        <is>
          <t>Satış Tutarı (Net)</t>
        </is>
      </c>
      <c r="D5" s="17" t="inlineStr">
        <is>
          <t>SMM</t>
        </is>
      </c>
      <c r="E5" s="17" t="inlineStr">
        <is>
          <t>Brüt Kar</t>
        </is>
      </c>
      <c r="F5" s="17" t="inlineStr">
        <is>
          <t>Kar Marjı</t>
        </is>
      </c>
    </row>
    <row r="6">
      <c r="A6" s="18" t="inlineStr">
        <is>
          <t>C00001</t>
        </is>
      </c>
      <c r="B6" s="18" t="inlineStr">
        <is>
          <t>Anadolu Sanayi Ticaret</t>
        </is>
      </c>
      <c r="C6" s="19" t="n">
        <v>450000</v>
      </c>
      <c r="D6" s="19" t="n">
        <v>310000</v>
      </c>
      <c r="E6" s="19">
        <f>C6-D6</f>
        <v/>
      </c>
      <c r="F6" s="20">
        <f>E6/C6</f>
        <v/>
      </c>
    </row>
    <row r="7">
      <c r="A7" s="21" t="inlineStr">
        <is>
          <t>C00002</t>
        </is>
      </c>
      <c r="B7" s="21" t="inlineStr">
        <is>
          <t>Avrupa Dağıtım Ltd.</t>
        </is>
      </c>
      <c r="C7" s="22" t="n">
        <v>380000</v>
      </c>
      <c r="D7" s="22" t="n">
        <v>245000</v>
      </c>
      <c r="E7" s="22">
        <f>C7-D7</f>
        <v/>
      </c>
      <c r="F7" s="23">
        <f>E7/C7</f>
        <v/>
      </c>
    </row>
    <row r="8">
      <c r="A8" s="18" t="inlineStr">
        <is>
          <t>C00003</t>
        </is>
      </c>
      <c r="B8" s="18" t="inlineStr">
        <is>
          <t>Net Lojistik Hizmetleri</t>
        </is>
      </c>
      <c r="C8" s="19" t="n">
        <v>290000</v>
      </c>
      <c r="D8" s="19" t="n">
        <v>210000</v>
      </c>
      <c r="E8" s="19">
        <f>C8-D8</f>
        <v/>
      </c>
      <c r="F8" s="20">
        <f>E8/C8</f>
        <v/>
      </c>
    </row>
    <row r="9">
      <c r="A9" s="21" t="inlineStr">
        <is>
          <t>C00004</t>
        </is>
      </c>
      <c r="B9" s="21" t="inlineStr">
        <is>
          <t>Zirve Holding A.Ş.</t>
        </is>
      </c>
      <c r="C9" s="22" t="n">
        <v>210000</v>
      </c>
      <c r="D9" s="22" t="n">
        <v>130000</v>
      </c>
      <c r="E9" s="22">
        <f>C9-D9</f>
        <v/>
      </c>
      <c r="F9" s="23">
        <f>E9/C9</f>
        <v/>
      </c>
    </row>
    <row r="10">
      <c r="A10" s="24" t="inlineStr">
        <is>
          <t>GENEL TOPLAM</t>
        </is>
      </c>
      <c r="C10" s="25">
        <f>SUM(C6:C9)</f>
        <v/>
      </c>
      <c r="D10" s="25">
        <f>SUM(D6:D9)</f>
        <v/>
      </c>
      <c r="E10" s="25">
        <f>SUM(E6:E9)</f>
        <v/>
      </c>
      <c r="F10" s="26">
        <f>E10/C10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1" customWidth="1" min="3" max="3"/>
    <col width="26" customWidth="1" min="4" max="4"/>
    <col width="24" customWidth="1" min="5" max="5"/>
    <col width="19" customWidth="1" min="6" max="6"/>
    <col width="20" customWidth="1" min="7" max="7"/>
  </cols>
  <sheetData>
    <row r="1">
      <c r="A1" s="14" t="inlineStr">
        <is>
          <t>🏠 Ana Yönetim Paneline Dön</t>
        </is>
      </c>
    </row>
    <row r="2"/>
    <row r="3">
      <c r="A3" s="15" t="inlineStr">
        <is>
          <t>Nakit Akisi Rapor Detayı</t>
        </is>
      </c>
    </row>
    <row r="4"/>
    <row r="5">
      <c r="A5" s="16" t="inlineStr">
        <is>
          <t>Dönem</t>
        </is>
      </c>
      <c r="B5" s="17" t="inlineStr">
        <is>
          <t>Açılış Banka Bakiyesi</t>
        </is>
      </c>
      <c r="C5" s="17" t="inlineStr">
        <is>
          <t>Tahsilatlar (A/R)</t>
        </is>
      </c>
      <c r="D5" s="17" t="inlineStr">
        <is>
          <t>Satıcı Ödemeleri (A/P)</t>
        </is>
      </c>
      <c r="E5" s="17" t="inlineStr">
        <is>
          <t>Operasyonel Giderler</t>
        </is>
      </c>
      <c r="F5" s="17" t="inlineStr">
        <is>
          <t>Net Nakit Akışı</t>
        </is>
      </c>
      <c r="G5" s="17" t="inlineStr">
        <is>
          <t>Kapanış Bakiyesi</t>
        </is>
      </c>
    </row>
    <row r="6">
      <c r="A6" s="18" t="inlineStr">
        <is>
          <t>Temmuz 2026</t>
        </is>
      </c>
      <c r="B6" s="19" t="n">
        <v>1200000</v>
      </c>
      <c r="C6" s="19" t="n">
        <v>450000</v>
      </c>
      <c r="D6" s="19" t="n">
        <v>-210000</v>
      </c>
      <c r="E6" s="19" t="n">
        <v>-130000</v>
      </c>
      <c r="F6" s="19">
        <f>SUM(C6:E6)</f>
        <v/>
      </c>
      <c r="G6" s="19">
        <f>B6+F6</f>
        <v/>
      </c>
    </row>
    <row r="7">
      <c r="A7" s="21" t="inlineStr">
        <is>
          <t>Ağustos 2026</t>
        </is>
      </c>
      <c r="B7" s="22">
        <f>G6</f>
        <v/>
      </c>
      <c r="C7" s="22" t="n">
        <v>480000</v>
      </c>
      <c r="D7" s="22" t="n">
        <v>-195000</v>
      </c>
      <c r="E7" s="22" t="n">
        <v>-130000</v>
      </c>
      <c r="F7" s="22">
        <f>SUM(C7:E7)</f>
        <v/>
      </c>
      <c r="G7" s="22">
        <f>B7+F7</f>
        <v/>
      </c>
    </row>
    <row r="8">
      <c r="A8" s="18" t="inlineStr">
        <is>
          <t>Eylül 2026</t>
        </is>
      </c>
      <c r="B8" s="19">
        <f>G7</f>
        <v/>
      </c>
      <c r="C8" s="19" t="n">
        <v>520000</v>
      </c>
      <c r="D8" s="19" t="n">
        <v>-240000</v>
      </c>
      <c r="E8" s="19" t="n">
        <v>-140000</v>
      </c>
      <c r="F8" s="19">
        <f>SUM(C8:E8)</f>
        <v/>
      </c>
      <c r="G8" s="19">
        <f>B8+F8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22" customWidth="1" min="3" max="3"/>
    <col width="19" customWidth="1" min="4" max="4"/>
    <col width="20" customWidth="1" min="5" max="5"/>
    <col width="21" customWidth="1" min="6" max="6"/>
    <col width="21" customWidth="1" min="7" max="7"/>
    <col width="19" customWidth="1" min="8" max="8"/>
  </cols>
  <sheetData>
    <row r="1">
      <c r="A1" s="14" t="inlineStr">
        <is>
          <t>🏠 Ana Yönetim Paneline Dön</t>
        </is>
      </c>
    </row>
    <row r="2"/>
    <row r="3">
      <c r="A3" s="15" t="inlineStr">
        <is>
          <t>Musteri Yaslandirma Rapor Detayı</t>
        </is>
      </c>
    </row>
    <row r="4"/>
    <row r="5">
      <c r="A5" s="16" t="inlineStr">
        <is>
          <t>Müşteri Kodu</t>
        </is>
      </c>
      <c r="B5" s="17" t="inlineStr">
        <is>
          <t>Müşteri Adı</t>
        </is>
      </c>
      <c r="C5" s="17" t="inlineStr">
        <is>
          <t>Toplam Açık Bakiye</t>
        </is>
      </c>
      <c r="D5" s="17" t="inlineStr">
        <is>
          <t>Vadesi Gelmemiş</t>
        </is>
      </c>
      <c r="E5" s="17" t="inlineStr">
        <is>
          <t>1-30 Gün Geciken</t>
        </is>
      </c>
      <c r="F5" s="17" t="inlineStr">
        <is>
          <t>31-60 Gün Geciken</t>
        </is>
      </c>
      <c r="G5" s="17" t="inlineStr">
        <is>
          <t>61-90 Gün Geciken</t>
        </is>
      </c>
      <c r="H5" s="17" t="inlineStr">
        <is>
          <t>90+ Gün Geciken</t>
        </is>
      </c>
    </row>
    <row r="6">
      <c r="A6" s="18" t="inlineStr">
        <is>
          <t>C00001</t>
        </is>
      </c>
      <c r="B6" s="18" t="inlineStr">
        <is>
          <t>Anadolu Sanayi Ticaret</t>
        </is>
      </c>
      <c r="C6" s="19">
        <f>SUM(D6:H6)</f>
        <v/>
      </c>
      <c r="D6" s="19" t="n">
        <v>45000</v>
      </c>
      <c r="E6" s="19" t="n">
        <v>10000</v>
      </c>
      <c r="F6" s="19" t="n">
        <v>0</v>
      </c>
      <c r="G6" s="19" t="n">
        <v>0</v>
      </c>
      <c r="H6" s="19" t="n">
        <v>0</v>
      </c>
    </row>
    <row r="7">
      <c r="A7" s="21" t="inlineStr">
        <is>
          <t>C00002</t>
        </is>
      </c>
      <c r="B7" s="21" t="inlineStr">
        <is>
          <t>Avrupa Dağıtım Ltd.</t>
        </is>
      </c>
      <c r="C7" s="22">
        <f>SUM(D7:H7)</f>
        <v/>
      </c>
      <c r="D7" s="22" t="n">
        <v>0</v>
      </c>
      <c r="E7" s="22" t="n">
        <v>35000</v>
      </c>
      <c r="F7" s="22" t="n">
        <v>15000</v>
      </c>
      <c r="G7" s="22" t="n">
        <v>0</v>
      </c>
      <c r="H7" s="22" t="n">
        <v>0</v>
      </c>
    </row>
    <row r="8">
      <c r="A8" s="18" t="inlineStr">
        <is>
          <t>C00003</t>
        </is>
      </c>
      <c r="B8" s="18" t="inlineStr">
        <is>
          <t>Net Lojistik Hizmetleri</t>
        </is>
      </c>
      <c r="C8" s="19">
        <f>SUM(D8:H8)</f>
        <v/>
      </c>
      <c r="D8" s="19" t="n">
        <v>40000</v>
      </c>
      <c r="E8" s="19" t="n">
        <v>15000</v>
      </c>
      <c r="F8" s="19" t="n">
        <v>8000</v>
      </c>
      <c r="G8" s="19" t="n">
        <v>12000</v>
      </c>
      <c r="H8" s="19" t="n">
        <v>15000</v>
      </c>
    </row>
    <row r="9">
      <c r="A9" s="24" t="inlineStr">
        <is>
          <t>GENEL TOPLAM</t>
        </is>
      </c>
      <c r="C9" s="25">
        <f>SUM(C6:C8)</f>
        <v/>
      </c>
      <c r="H9" s="25">
        <f>SUM(H6:H8)</f>
        <v/>
      </c>
    </row>
  </sheetData>
  <conditionalFormatting sqref="H6:H8">
    <cfRule type="cellIs" priority="1" operator="greaterThan" dxfId="0">
      <formula>0</formula>
    </cfRule>
  </conditionalFormatting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8" customWidth="1" min="3" max="3"/>
    <col width="18" customWidth="1" min="4" max="4"/>
    <col width="20" customWidth="1" min="5" max="5"/>
    <col width="22" customWidth="1" min="6" max="6"/>
    <col width="18" customWidth="1" min="7" max="7"/>
  </cols>
  <sheetData>
    <row r="1">
      <c r="A1" s="14" t="inlineStr">
        <is>
          <t>🏠 Ana Yönetim Paneline Dön</t>
        </is>
      </c>
    </row>
    <row r="2"/>
    <row r="3">
      <c r="A3" s="15" t="inlineStr">
        <is>
          <t>Stok Analizi Rapor Detayı</t>
        </is>
      </c>
    </row>
    <row r="4"/>
    <row r="5">
      <c r="A5" s="16" t="inlineStr">
        <is>
          <t>Kalem Kodu</t>
        </is>
      </c>
      <c r="B5" s="17" t="inlineStr">
        <is>
          <t>Kalem Açıklaması</t>
        </is>
      </c>
      <c r="C5" s="17" t="inlineStr">
        <is>
          <t>Kalem Grubu</t>
        </is>
      </c>
      <c r="D5" s="17" t="inlineStr">
        <is>
          <t>Depo Miktarı</t>
        </is>
      </c>
      <c r="E5" s="17" t="inlineStr">
        <is>
          <t>Ortalama Maliyet</t>
        </is>
      </c>
      <c r="F5" s="17" t="inlineStr">
        <is>
          <t>Toplam Stok Değeri</t>
        </is>
      </c>
      <c r="G5" s="17" t="inlineStr">
        <is>
          <t>Durum Bilgisi</t>
        </is>
      </c>
    </row>
    <row r="6">
      <c r="A6" s="18" t="inlineStr">
        <is>
          <t>I001</t>
        </is>
      </c>
      <c r="B6" s="18" t="inlineStr">
        <is>
          <t>Sunucu Anakart V4</t>
        </is>
      </c>
      <c r="C6" s="18" t="inlineStr">
        <is>
          <t>Elektronik</t>
        </is>
      </c>
      <c r="D6" s="27" t="n">
        <v>150</v>
      </c>
      <c r="E6" s="19" t="n">
        <v>4200</v>
      </c>
      <c r="F6" s="19">
        <f>D6*E6</f>
        <v/>
      </c>
      <c r="G6" s="18" t="inlineStr">
        <is>
          <t>Aktif</t>
        </is>
      </c>
    </row>
    <row r="7">
      <c r="A7" s="21" t="inlineStr">
        <is>
          <t>I002</t>
        </is>
      </c>
      <c r="B7" s="21" t="inlineStr">
        <is>
          <t>DDR5 32GB RAM</t>
        </is>
      </c>
      <c r="C7" s="21" t="inlineStr">
        <is>
          <t>Elektronik</t>
        </is>
      </c>
      <c r="D7" s="28" t="n">
        <v>680</v>
      </c>
      <c r="E7" s="22" t="n">
        <v>1100</v>
      </c>
      <c r="F7" s="22">
        <f>D7*E7</f>
        <v/>
      </c>
      <c r="G7" s="21" t="inlineStr">
        <is>
          <t>Hızlı Hareket</t>
        </is>
      </c>
    </row>
    <row r="8">
      <c r="A8" s="18" t="inlineStr">
        <is>
          <t>I003</t>
        </is>
      </c>
      <c r="B8" s="18" t="inlineStr">
        <is>
          <t>İşlemci Soğutucu Mini</t>
        </is>
      </c>
      <c r="C8" s="18" t="inlineStr">
        <is>
          <t>Aksesuar</t>
        </is>
      </c>
      <c r="D8" s="27" t="n">
        <v>310</v>
      </c>
      <c r="E8" s="19" t="n">
        <v>450</v>
      </c>
      <c r="F8" s="19">
        <f>D8*E8</f>
        <v/>
      </c>
      <c r="G8" s="18" t="inlineStr">
        <is>
          <t>Kritik / Atıl</t>
        </is>
      </c>
    </row>
    <row r="9">
      <c r="A9" s="24" t="inlineStr">
        <is>
          <t>GENEL TOPLAM</t>
        </is>
      </c>
      <c r="D9" s="29">
        <f>SUM(D6:D8)</f>
        <v/>
      </c>
      <c r="F9" s="25">
        <f>SUM(F6:F8)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3" customWidth="1" min="2" max="2"/>
    <col width="22" customWidth="1" min="3" max="3"/>
    <col width="23" customWidth="1" min="4" max="4"/>
    <col width="18" customWidth="1" min="5" max="5"/>
    <col width="23" customWidth="1" min="6" max="6"/>
  </cols>
  <sheetData>
    <row r="1">
      <c r="A1" s="14" t="inlineStr">
        <is>
          <t>🏠 Ana Yönetim Paneline Dön</t>
        </is>
      </c>
    </row>
    <row r="2"/>
    <row r="3">
      <c r="A3" s="15" t="inlineStr">
        <is>
          <t>Butce Gider Rapor Detayı</t>
        </is>
      </c>
    </row>
    <row r="4"/>
    <row r="5">
      <c r="A5" s="16" t="inlineStr">
        <is>
          <t>Hesap Kodu</t>
        </is>
      </c>
      <c r="B5" s="17" t="inlineStr">
        <is>
          <t>Gider Grubu / Hesap Adı</t>
        </is>
      </c>
      <c r="C5" s="17" t="inlineStr">
        <is>
          <t>Yıllık Bütçe (YTD)</t>
        </is>
      </c>
      <c r="D5" s="17" t="inlineStr">
        <is>
          <t>Fiili Harcama (YTD)</t>
        </is>
      </c>
      <c r="E5" s="17" t="inlineStr">
        <is>
          <t>Sapma (Tutar)</t>
        </is>
      </c>
      <c r="F5" s="17" t="inlineStr">
        <is>
          <t>Bütçe Gerçekleşme %</t>
        </is>
      </c>
    </row>
    <row r="6">
      <c r="A6" s="18" t="inlineStr">
        <is>
          <t>770.001</t>
        </is>
      </c>
      <c r="B6" s="18" t="inlineStr">
        <is>
          <t>Personel Maaş ve Ücretleri</t>
        </is>
      </c>
      <c r="C6" s="19" t="n">
        <v>2400000</v>
      </c>
      <c r="D6" s="19" t="n">
        <v>1180000</v>
      </c>
      <c r="E6" s="19">
        <f>C6-D6</f>
        <v/>
      </c>
      <c r="F6" s="20">
        <f>D6/C6</f>
        <v/>
      </c>
    </row>
    <row r="7">
      <c r="A7" s="21" t="inlineStr">
        <is>
          <t>770.002</t>
        </is>
      </c>
      <c r="B7" s="21" t="inlineStr">
        <is>
          <t>Pazarlama ve Reklam Giderleri</t>
        </is>
      </c>
      <c r="C7" s="22" t="n">
        <v>800000</v>
      </c>
      <c r="D7" s="22" t="n">
        <v>845000</v>
      </c>
      <c r="E7" s="22">
        <f>C7-D7</f>
        <v/>
      </c>
      <c r="F7" s="23">
        <f>D7/C7</f>
        <v/>
      </c>
    </row>
    <row r="8">
      <c r="A8" s="18" t="inlineStr">
        <is>
          <t>770.003</t>
        </is>
      </c>
      <c r="B8" s="18" t="inlineStr">
        <is>
          <t>Ofis Kira ve Genel Giderler</t>
        </is>
      </c>
      <c r="C8" s="19" t="n">
        <v>600000</v>
      </c>
      <c r="D8" s="19" t="n">
        <v>305000</v>
      </c>
      <c r="E8" s="19">
        <f>C8-D8</f>
        <v/>
      </c>
      <c r="F8" s="20">
        <f>D8/C8</f>
        <v/>
      </c>
    </row>
    <row r="9">
      <c r="A9" s="24" t="inlineStr">
        <is>
          <t>GENEL TOPLAM</t>
        </is>
      </c>
      <c r="C9" s="25">
        <f>SUM(C6:C8)</f>
        <v/>
      </c>
      <c r="D9" s="25">
        <f>SUM(D6:D8)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2026-06-25T09:01:29Z</dcterms:created>
  <dcterms:modified xsi:type="dcterms:W3CDTF">2026-06-25T09:01:29Z</dcterms:modified>
</cp:coreProperties>
</file>